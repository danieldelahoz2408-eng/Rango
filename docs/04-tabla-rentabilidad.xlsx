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 freelance" sheetId="1" state="visible" r:id="rId1"/>
    <sheet name="Rentabilidad por proyecto" sheetId="2" state="visible" r:id="rId2"/>
    <sheet name="PyG 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3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>
      <c r="A1" s="1" t="inlineStr">
        <is>
          <t>Rol</t>
        </is>
      </c>
      <c r="B1" s="1" t="inlineStr">
        <is>
          <t>Unidad</t>
        </is>
      </c>
      <c r="C1" s="1" t="inlineStr">
        <is>
          <t>Mercado mín (COP)</t>
        </is>
      </c>
      <c r="D1" s="1" t="inlineStr">
        <is>
          <t>Mercado máx (COP)</t>
        </is>
      </c>
      <c r="E1" s="1" t="inlineStr">
        <is>
          <t>Tarifa Rango (COP)</t>
        </is>
      </c>
      <c r="F1" s="1" t="inlineStr">
        <is>
          <t>Base / fuente</t>
        </is>
      </c>
    </row>
    <row r="2">
      <c r="A2" t="inlineStr">
        <is>
          <t>DOP / videógrafo con equipo propio</t>
        </is>
      </c>
      <c r="B2" t="inlineStr">
        <is>
          <t>Jornada</t>
        </is>
      </c>
      <c r="C2" s="2" t="n">
        <v>500000</v>
      </c>
      <c r="D2" s="2" t="n">
        <v>900000</v>
      </c>
      <c r="E2" s="2" t="n">
        <v>600000</v>
      </c>
      <c r="F2" t="inlineStr">
        <is>
          <t>Alquiler FX3+lente 280–360k/día en Bogotá; operador 1,5–2,5× el alquiler</t>
        </is>
      </c>
    </row>
    <row r="3">
      <c r="A3" t="inlineStr">
        <is>
          <t>DOP media jornada</t>
        </is>
      </c>
      <c r="B3" t="inlineStr">
        <is>
          <t>Media jornada</t>
        </is>
      </c>
      <c r="C3" s="2" t="n">
        <v>300000</v>
      </c>
      <c r="D3" s="2" t="n">
        <v>500000</v>
      </c>
      <c r="E3" s="2" t="n">
        <v>350000</v>
      </c>
      <c r="F3" t="inlineStr"/>
    </row>
    <row r="4">
      <c r="A4" t="inlineStr">
        <is>
          <t>Asistente de cámara / gaffer</t>
        </is>
      </c>
      <c r="B4" t="inlineStr">
        <is>
          <t>Jornada</t>
        </is>
      </c>
      <c r="C4" s="2" t="n">
        <v>150000</v>
      </c>
      <c r="D4" s="2" t="n">
        <v>250000</v>
      </c>
      <c r="E4" s="2" t="n">
        <v>200000</v>
      </c>
      <c r="F4" t="inlineStr">
        <is>
          <t>Salario junior 1,5–2 M/mes ÷ 10 jornadas</t>
        </is>
      </c>
    </row>
    <row r="5">
      <c r="A5" t="inlineStr">
        <is>
          <t>Sonidista con equipo</t>
        </is>
      </c>
      <c r="B5" t="inlineStr">
        <is>
          <t>Jornada</t>
        </is>
      </c>
      <c r="C5" s="2" t="n">
        <v>250000</v>
      </c>
      <c r="D5" s="2" t="n">
        <v>400000</v>
      </c>
      <c r="E5" s="2" t="n">
        <v>300000</v>
      </c>
      <c r="F5" t="inlineStr"/>
    </row>
    <row r="6">
      <c r="A6" t="inlineStr">
        <is>
          <t>Equipo extra (luces, gimbal, drone)</t>
        </is>
      </c>
      <c r="B6" t="inlineStr">
        <is>
          <t>Jornada</t>
        </is>
      </c>
      <c r="C6" s="2" t="n">
        <v>150000</v>
      </c>
      <c r="D6" s="2" t="n">
        <v>400000</v>
      </c>
      <c r="E6" s="2" t="n">
        <v>250000</v>
      </c>
      <c r="F6" t="inlineStr">
        <is>
          <t>Casas de alquiler Bogotá</t>
        </is>
      </c>
    </row>
    <row r="7">
      <c r="A7" t="inlineStr">
        <is>
          <t>Edición reel / pieza corta</t>
        </is>
      </c>
      <c r="B7" t="inlineStr">
        <is>
          <t>Pieza</t>
        </is>
      </c>
      <c r="C7" s="2" t="n">
        <v>80000</v>
      </c>
      <c r="D7" s="2" t="n">
        <v>250000</v>
      </c>
      <c r="E7" s="2" t="n">
        <v>100000</v>
      </c>
      <c r="F7" t="inlineStr">
        <is>
          <t>USD 20–60 por reel (LATAM)</t>
        </is>
      </c>
    </row>
    <row r="8">
      <c r="A8" t="inlineStr">
        <is>
          <t>Edición pack 5 anuncios</t>
        </is>
      </c>
      <c r="B8" t="inlineStr">
        <is>
          <t>Proyecto</t>
        </is>
      </c>
      <c r="C8" s="2" t="n">
        <v>400000</v>
      </c>
      <c r="D8" s="2" t="n">
        <v>700000</v>
      </c>
      <c r="E8" s="2" t="n">
        <v>500000</v>
      </c>
      <c r="F8" t="inlineStr"/>
    </row>
    <row r="9">
      <c r="A9" t="inlineStr">
        <is>
          <t>Edición clip musical / video de marca</t>
        </is>
      </c>
      <c r="B9" t="inlineStr">
        <is>
          <t>Proyecto</t>
        </is>
      </c>
      <c r="C9" s="2" t="n">
        <v>500000</v>
      </c>
      <c r="D9" s="2" t="n">
        <v>1000000</v>
      </c>
      <c r="E9" s="2" t="n">
        <v>700000</v>
      </c>
      <c r="F9" t="inlineStr">
        <is>
          <t>Editor empleado 1,8–4 M/mes</t>
        </is>
      </c>
    </row>
    <row r="10">
      <c r="A10" t="inlineStr">
        <is>
          <t>Edición comercial 30s + cutdowns</t>
        </is>
      </c>
      <c r="B10" t="inlineStr">
        <is>
          <t>Proyecto</t>
        </is>
      </c>
      <c r="C10" s="2" t="n">
        <v>700000</v>
      </c>
      <c r="D10" s="2" t="n">
        <v>1200000</v>
      </c>
      <c r="E10" s="2" t="n">
        <v>1000000</v>
      </c>
      <c r="F10" t="inlineStr"/>
    </row>
    <row r="11">
      <c r="A11" t="inlineStr">
        <is>
          <t>Colorización</t>
        </is>
      </c>
      <c r="B11" t="inlineStr">
        <is>
          <t>Pieza</t>
        </is>
      </c>
      <c r="C11" s="2" t="n">
        <v>200000</v>
      </c>
      <c r="D11" s="2" t="n">
        <v>500000</v>
      </c>
      <c r="E11" s="2" t="n">
        <v>300000</v>
      </c>
      <c r="F11" t="inlineStr">
        <is>
          <t>Estimación; validar</t>
        </is>
      </c>
    </row>
    <row r="12">
      <c r="A12" t="inlineStr">
        <is>
          <t>Animación de logo</t>
        </is>
      </c>
      <c r="B12" t="inlineStr">
        <is>
          <t>Pieza</t>
        </is>
      </c>
      <c r="C12" s="2" t="n">
        <v>200000</v>
      </c>
      <c r="D12" s="2" t="n">
        <v>500000</v>
      </c>
      <c r="E12" s="2" t="n">
        <v>300000</v>
      </c>
      <c r="F12" t="inlineStr">
        <is>
          <t>Marketplaces Colombia</t>
        </is>
      </c>
    </row>
    <row r="13">
      <c r="A13" t="inlineStr">
        <is>
          <t>Motion graphics 20–30 s</t>
        </is>
      </c>
      <c r="B13" t="inlineStr">
        <is>
          <t>Pieza</t>
        </is>
      </c>
      <c r="C13" s="2" t="n">
        <v>300000</v>
      </c>
      <c r="D13" s="2" t="n">
        <v>800000</v>
      </c>
      <c r="E13" s="2" t="n">
        <v>400000</v>
      </c>
      <c r="F13" t="inlineStr">
        <is>
          <t>Estimación; validar</t>
        </is>
      </c>
    </row>
    <row r="14">
      <c r="A14" t="inlineStr">
        <is>
          <t>Identidad de marca con manual (freelance)</t>
        </is>
      </c>
      <c r="B14" t="inlineStr">
        <is>
          <t>Proyecto</t>
        </is>
      </c>
      <c r="C14" s="2" t="n">
        <v>1200000</v>
      </c>
      <c r="D14" s="2" t="n">
        <v>2500000</v>
      </c>
      <c r="E14" s="2" t="n">
        <v>1500000</v>
      </c>
      <c r="F14" t="inlineStr">
        <is>
          <t>Branding profesional Colombia 1,5–5,5 M</t>
        </is>
      </c>
    </row>
    <row r="15">
      <c r="A15" t="inlineStr">
        <is>
          <t>Diseño de piezas para redes</t>
        </is>
      </c>
      <c r="B15" t="inlineStr">
        <is>
          <t>Pieza</t>
        </is>
      </c>
      <c r="C15" s="2" t="n">
        <v>30000</v>
      </c>
      <c r="D15" s="2" t="n">
        <v>80000</v>
      </c>
      <c r="E15" s="2" t="n">
        <v>50000</v>
      </c>
      <c r="F15" t="inlineStr">
        <is>
          <t>Tarifarios diseño Colombia</t>
        </is>
      </c>
    </row>
    <row r="16">
      <c r="A16" t="inlineStr">
        <is>
          <t>Web no-code: landing</t>
        </is>
      </c>
      <c r="B16" t="inlineStr">
        <is>
          <t>Proyecto</t>
        </is>
      </c>
      <c r="C16" s="2" t="n">
        <v>600000</v>
      </c>
      <c r="D16" s="2" t="n">
        <v>1200000</v>
      </c>
      <c r="E16" s="2" t="n">
        <v>800000</v>
      </c>
      <c r="F16" t="inlineStr">
        <is>
          <t>Landing Colombia 0,5–3 M</t>
        </is>
      </c>
    </row>
    <row r="17">
      <c r="A17" t="inlineStr">
        <is>
          <t>Web no-code: sitio 5–7 páginas</t>
        </is>
      </c>
      <c r="B17" t="inlineStr">
        <is>
          <t>Proyecto</t>
        </is>
      </c>
      <c r="C17" s="2" t="n">
        <v>1500000</v>
      </c>
      <c r="D17" s="2" t="n">
        <v>3000000</v>
      </c>
      <c r="E17" s="2" t="n">
        <v>1800000</v>
      </c>
      <c r="F17" t="inlineStr">
        <is>
          <t>Sitio corporativo Colombia 3–10 M</t>
        </is>
      </c>
    </row>
    <row r="18">
      <c r="A18" t="inlineStr">
        <is>
          <t>Copywriting de sitio</t>
        </is>
      </c>
      <c r="B18" t="inlineStr">
        <is>
          <t>Proyecto</t>
        </is>
      </c>
      <c r="C18" s="2" t="n">
        <v>300000</v>
      </c>
      <c r="D18" s="2" t="n">
        <v>600000</v>
      </c>
      <c r="E18" s="2" t="n">
        <v>400000</v>
      </c>
      <c r="F18" t="inlineStr">
        <is>
          <t>Estimación; validar</t>
        </is>
      </c>
    </row>
    <row r="19">
      <c r="A19" t="inlineStr">
        <is>
          <t>Fotógrafo/a (sesión 2–3 h)</t>
        </is>
      </c>
      <c r="B19" t="inlineStr">
        <is>
          <t>Sesión</t>
        </is>
      </c>
      <c r="C19" s="2" t="n">
        <v>350000</v>
      </c>
      <c r="D19" s="2" t="n">
        <v>600000</v>
      </c>
      <c r="E19" s="2" t="n">
        <v>450000</v>
      </c>
      <c r="F19" t="inlineStr">
        <is>
          <t>Retrato corporativo Bogotá desde 550k al público</t>
        </is>
      </c>
    </row>
    <row r="20">
      <c r="A20" t="inlineStr">
        <is>
          <t>Maquillaje y estilismo</t>
        </is>
      </c>
      <c r="B20" t="inlineStr">
        <is>
          <t>Jornada</t>
        </is>
      </c>
      <c r="C20" s="2" t="n">
        <v>150000</v>
      </c>
      <c r="D20" s="2" t="n">
        <v>250000</v>
      </c>
      <c r="E20" s="2" t="n">
        <v>200000</v>
      </c>
      <c r="F20" t="inlineStr">
        <is>
          <t>Estimación; validar</t>
        </is>
      </c>
    </row>
    <row r="21">
      <c r="A21" t="inlineStr">
        <is>
          <t>Locación</t>
        </is>
      </c>
      <c r="B21" t="inlineStr">
        <is>
          <t>Jornada</t>
        </is>
      </c>
      <c r="C21" s="2" t="n">
        <v>0</v>
      </c>
      <c r="D21" s="2" t="n">
        <v>400000</v>
      </c>
      <c r="E21" s="2" t="n">
        <v>200000</v>
      </c>
      <c r="F21" t="inlineStr">
        <is>
          <t>Estimación; validar</t>
        </is>
      </c>
    </row>
    <row r="22">
      <c r="A22" t="inlineStr">
        <is>
          <t>Logística rodaje</t>
        </is>
      </c>
      <c r="B22" t="inlineStr">
        <is>
          <t>Jornada</t>
        </is>
      </c>
      <c r="C22" s="2" t="n">
        <v>150000</v>
      </c>
      <c r="D22" s="2" t="n">
        <v>300000</v>
      </c>
      <c r="E22" s="2" t="n">
        <v>250000</v>
      </c>
      <c r="F22" t="inlineStr">
        <is>
          <t>Estimación</t>
        </is>
      </c>
    </row>
    <row r="23">
      <c r="A23" t="inlineStr">
        <is>
          <t>Talento / modelo</t>
        </is>
      </c>
      <c r="B23" t="inlineStr">
        <is>
          <t>Jornada</t>
        </is>
      </c>
      <c r="C23" s="2" t="n">
        <v>300000</v>
      </c>
      <c r="D23" s="2" t="n">
        <v>800000</v>
      </c>
      <c r="E23" s="2" t="n">
        <v>500000</v>
      </c>
      <c r="F23" t="inlineStr">
        <is>
          <t>Estimación; validar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16" customWidth="1" min="4" max="4"/>
    <col width="12" customWidth="1" min="5" max="5"/>
    <col width="10" customWidth="1" min="6" max="6"/>
    <col width="16" customWidth="1" min="7" max="7"/>
    <col width="16" customWidth="1" min="8" max="8"/>
    <col width="12" customWidth="1" min="9" max="9"/>
    <col width="80" customWidth="1" min="10" max="10"/>
  </cols>
  <sheetData>
    <row r="1">
      <c r="A1" s="3" t="inlineStr">
        <is>
          <t>Valor interno hora de socio (COP)</t>
        </is>
      </c>
      <c r="B1" s="2" t="n">
        <v>60000</v>
      </c>
    </row>
    <row r="3">
      <c r="A3" s="1" t="inlineStr">
        <is>
          <t>Proyecto</t>
        </is>
      </c>
      <c r="B3" s="1" t="inlineStr">
        <is>
          <t>Precio (COP)</t>
        </is>
      </c>
      <c r="C3" s="1" t="inlineStr">
        <is>
          <t>Costos freelance (COP)</t>
        </is>
      </c>
      <c r="D3" s="1" t="inlineStr">
        <is>
          <t>Margen bruto (COP)</t>
        </is>
      </c>
      <c r="E3" s="1" t="inlineStr">
        <is>
          <t>Margen bruto %</t>
        </is>
      </c>
      <c r="F3" s="1" t="inlineStr">
        <is>
          <t>Horas socios</t>
        </is>
      </c>
      <c r="G3" s="1" t="inlineStr">
        <is>
          <t>Costo tiempo socios (COP)</t>
        </is>
      </c>
      <c r="H3" s="1" t="inlineStr">
        <is>
          <t>Contribución neta (COP)</t>
        </is>
      </c>
      <c r="I3" s="1" t="inlineStr">
        <is>
          <t>Contribución neta %</t>
        </is>
      </c>
      <c r="J3" s="1" t="inlineStr">
        <is>
          <t>Detalle de costos</t>
        </is>
      </c>
    </row>
    <row r="4">
      <c r="A4" t="inlineStr">
        <is>
          <t>Pack 5 anuncios pauta (½ jornada)</t>
        </is>
      </c>
      <c r="B4" s="2" t="n">
        <v>3000000</v>
      </c>
      <c r="C4" s="2" t="n">
        <v>1300000</v>
      </c>
      <c r="D4" s="2">
        <f>B4-C4</f>
        <v/>
      </c>
      <c r="E4" s="4">
        <f>D4/B4</f>
        <v/>
      </c>
      <c r="F4" t="n">
        <v>16</v>
      </c>
      <c r="G4" s="2">
        <f>F4*$B$1</f>
        <v/>
      </c>
      <c r="H4" s="2">
        <f>D4-G4</f>
        <v/>
      </c>
      <c r="I4" s="4">
        <f>H4/B4</f>
        <v/>
      </c>
      <c r="J4" t="inlineStr">
        <is>
          <t>DOP ½ 350k · edición pack 500k · motion 300k · logística 150k</t>
        </is>
      </c>
    </row>
    <row r="5">
      <c r="A5" t="inlineStr">
        <is>
          <t>Video de marca / corporativo 2–3 min</t>
        </is>
      </c>
      <c r="B5" s="2" t="n">
        <v>4000000</v>
      </c>
      <c r="C5" s="2" t="n">
        <v>2000000</v>
      </c>
      <c r="D5" s="2">
        <f>B5-C5</f>
        <v/>
      </c>
      <c r="E5" s="4">
        <f>D5/B5</f>
        <v/>
      </c>
      <c r="F5" t="n">
        <v>18</v>
      </c>
      <c r="G5" s="2">
        <f>F5*$B$1</f>
        <v/>
      </c>
      <c r="H5" s="2">
        <f>D5-G5</f>
        <v/>
      </c>
      <c r="I5" s="4">
        <f>H5/B5</f>
        <v/>
      </c>
      <c r="J5" t="inlineStr">
        <is>
          <t>DOP 600k · sonido 300k · edición 700k · motion 200k · logística 200k</t>
        </is>
      </c>
    </row>
    <row r="6">
      <c r="A6" t="inlineStr">
        <is>
          <t>Clip musical indie (1 jornada)</t>
        </is>
      </c>
      <c r="B6" s="2" t="n">
        <v>5500000</v>
      </c>
      <c r="C6" s="2" t="n">
        <v>2650000</v>
      </c>
      <c r="D6" s="2">
        <f>B6-C6</f>
        <v/>
      </c>
      <c r="E6" s="4">
        <f>D6/B6</f>
        <v/>
      </c>
      <c r="F6" t="n">
        <v>30</v>
      </c>
      <c r="G6" s="2">
        <f>F6*$B$1</f>
        <v/>
      </c>
      <c r="H6" s="2">
        <f>D6-G6</f>
        <v/>
      </c>
      <c r="I6" s="4">
        <f>H6/B6</f>
        <v/>
      </c>
      <c r="J6" t="inlineStr">
        <is>
          <t>DOP 600k · asistente 200k · equipo 250k · edición 700k · color 250k · locación 200k · maquillaje 200k · logística 250k</t>
        </is>
      </c>
    </row>
    <row r="7">
      <c r="A7" t="inlineStr">
        <is>
          <t>Comercial 30s + 3 cutdowns (1 jornada)</t>
        </is>
      </c>
      <c r="B7" s="2" t="n">
        <v>10000000</v>
      </c>
      <c r="C7" s="2" t="n">
        <v>4750000</v>
      </c>
      <c r="D7" s="2">
        <f>B7-C7</f>
        <v/>
      </c>
      <c r="E7" s="4">
        <f>D7/B7</f>
        <v/>
      </c>
      <c r="F7" t="n">
        <v>40</v>
      </c>
      <c r="G7" s="2">
        <f>F7*$B$1</f>
        <v/>
      </c>
      <c r="H7" s="2">
        <f>D7-G7</f>
        <v/>
      </c>
      <c r="I7" s="4">
        <f>H7/B7</f>
        <v/>
      </c>
      <c r="J7" t="inlineStr">
        <is>
          <t>DOP 700k · gaffer 200k · sonido 350k · equipo 300k · locación 400k · talento 500k · maquillaje 200k · edición 1M · color 400k · motion 400k · logística 300k</t>
        </is>
      </c>
    </row>
    <row r="8">
      <c r="A8" t="inlineStr">
        <is>
          <t>Branding completo (freelance diseño)</t>
        </is>
      </c>
      <c r="B8" s="2" t="n">
        <v>4000000</v>
      </c>
      <c r="C8" s="2" t="n">
        <v>1900000</v>
      </c>
      <c r="D8" s="2">
        <f>B8-C8</f>
        <v/>
      </c>
      <c r="E8" s="4">
        <f>D8/B8</f>
        <v/>
      </c>
      <c r="F8" t="n">
        <v>20</v>
      </c>
      <c r="G8" s="2">
        <f>F8*$B$1</f>
        <v/>
      </c>
      <c r="H8" s="2">
        <f>D8-G8</f>
        <v/>
      </c>
      <c r="I8" s="4">
        <f>H8/B8</f>
        <v/>
      </c>
      <c r="J8" t="inlineStr">
        <is>
          <t>identidad + manual 1,5M · animación logo 300k · mockups 100k</t>
        </is>
      </c>
    </row>
    <row r="9">
      <c r="A9" t="inlineStr">
        <is>
          <t>Landing + identidad express</t>
        </is>
      </c>
      <c r="B9" s="2" t="n">
        <v>2500000</v>
      </c>
      <c r="C9" s="2" t="n">
        <v>1200000</v>
      </c>
      <c r="D9" s="2">
        <f>B9-C9</f>
        <v/>
      </c>
      <c r="E9" s="4">
        <f>D9/B9</f>
        <v/>
      </c>
      <c r="F9" t="n">
        <v>10</v>
      </c>
      <c r="G9" s="2">
        <f>F9*$B$1</f>
        <v/>
      </c>
      <c r="H9" s="2">
        <f>D9-G9</f>
        <v/>
      </c>
      <c r="I9" s="4">
        <f>H9/B9</f>
        <v/>
      </c>
      <c r="J9" t="inlineStr">
        <is>
          <t>web 800k · diseño 400k</t>
        </is>
      </c>
    </row>
    <row r="10">
      <c r="A10" t="inlineStr">
        <is>
          <t>Sitio corporativo 5–7 páginas</t>
        </is>
      </c>
      <c r="B10" s="2" t="n">
        <v>7000000</v>
      </c>
      <c r="C10" s="2" t="n">
        <v>3450000</v>
      </c>
      <c r="D10" s="2">
        <f>B10-C10</f>
        <v/>
      </c>
      <c r="E10" s="4">
        <f>D10/B10</f>
        <v/>
      </c>
      <c r="F10" t="n">
        <v>20</v>
      </c>
      <c r="G10" s="2">
        <f>F10*$B$1</f>
        <v/>
      </c>
      <c r="H10" s="2">
        <f>D10-G10</f>
        <v/>
      </c>
      <c r="I10" s="4">
        <f>H10/B10</f>
        <v/>
      </c>
      <c r="J10" t="inlineStr">
        <is>
          <t>web 1,8M · diseño 800k · copy 400k · fotos 450k</t>
        </is>
      </c>
    </row>
    <row r="11">
      <c r="A11" t="inlineStr">
        <is>
          <t>Retainer Rango Lab (mensual)</t>
        </is>
      </c>
      <c r="B11" s="2" t="n">
        <v>3000000</v>
      </c>
      <c r="C11" s="2" t="n">
        <v>1400000</v>
      </c>
      <c r="D11" s="2">
        <f>B11-C11</f>
        <v/>
      </c>
      <c r="E11" s="4">
        <f>D11/B11</f>
        <v/>
      </c>
      <c r="F11" t="n">
        <v>16</v>
      </c>
      <c r="G11" s="2">
        <f>F11*$B$1</f>
        <v/>
      </c>
      <c r="H11" s="2">
        <f>D11-G11</f>
        <v/>
      </c>
      <c r="I11" s="4">
        <f>H11/B11</f>
        <v/>
      </c>
      <c r="J11" t="inlineStr">
        <is>
          <t>DOP ½ 350k · edición 8 piezas 700k · diseño 250k · logística 100k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Concepto</t>
        </is>
      </c>
      <c r="B1" s="1" t="inlineStr">
        <is>
          <t>F1 · 2 proy</t>
        </is>
      </c>
      <c r="C1" s="1" t="inlineStr">
        <is>
          <t>F1 · 3 proy</t>
        </is>
      </c>
      <c r="D1" s="1" t="inlineStr">
        <is>
          <t>F1 · 4 proy</t>
        </is>
      </c>
      <c r="E1" s="1" t="inlineStr">
        <is>
          <t>F2a · 5 proy</t>
        </is>
      </c>
      <c r="F1" s="1" t="inlineStr">
        <is>
          <t>F2a · 6 proy</t>
        </is>
      </c>
      <c r="G1" s="1" t="inlineStr">
        <is>
          <t>F2b · 9 proy</t>
        </is>
      </c>
    </row>
    <row r="2">
      <c r="A2" t="inlineStr">
        <is>
          <t>Ingresos</t>
        </is>
      </c>
      <c r="B2" s="2" t="n">
        <v>8500000</v>
      </c>
      <c r="C2" s="2" t="n">
        <v>11000000</v>
      </c>
      <c r="D2" s="2" t="n">
        <v>15000000</v>
      </c>
      <c r="E2" s="2" t="n">
        <v>25500000</v>
      </c>
      <c r="F2" s="2" t="n">
        <v>35500000</v>
      </c>
      <c r="G2" s="2" t="n">
        <v>55500000</v>
      </c>
    </row>
    <row r="3">
      <c r="A3" t="inlineStr">
        <is>
          <t>Costos freelance</t>
        </is>
      </c>
      <c r="B3" s="2" t="n">
        <v>3950000</v>
      </c>
      <c r="C3" s="2" t="n">
        <v>5150000</v>
      </c>
      <c r="D3" s="2" t="n">
        <v>7150000</v>
      </c>
      <c r="E3" s="2" t="n">
        <v>12000000</v>
      </c>
      <c r="F3" s="2" t="n">
        <v>16850000</v>
      </c>
      <c r="G3" s="2" t="n">
        <v>26450000</v>
      </c>
    </row>
    <row r="4">
      <c r="A4" s="3" t="inlineStr">
        <is>
          <t>Margen bruto</t>
        </is>
      </c>
      <c r="B4" s="2">
        <f>B2-B3</f>
        <v/>
      </c>
      <c r="C4" s="2">
        <f>C2-C3</f>
        <v/>
      </c>
      <c r="D4" s="2">
        <f>D2-D3</f>
        <v/>
      </c>
      <c r="E4" s="2">
        <f>E2-E3</f>
        <v/>
      </c>
      <c r="F4" s="2">
        <f>F2-F3</f>
        <v/>
      </c>
      <c r="G4" s="2">
        <f>G2-G3</f>
        <v/>
      </c>
    </row>
    <row r="5">
      <c r="A5" t="inlineStr">
        <is>
          <t>Pauta (Meta + Google)</t>
        </is>
      </c>
      <c r="B5" s="2" t="n">
        <v>1000000</v>
      </c>
      <c r="C5" s="2" t="n">
        <v>1000000</v>
      </c>
      <c r="D5" s="2" t="n">
        <v>1000000</v>
      </c>
      <c r="E5" s="2" t="n">
        <v>1800000</v>
      </c>
      <c r="F5" s="2" t="n">
        <v>1800000</v>
      </c>
      <c r="G5" s="2" t="n">
        <v>3000000</v>
      </c>
    </row>
    <row r="6">
      <c r="A6" t="inlineStr">
        <is>
          <t>Software</t>
        </is>
      </c>
      <c r="B6" s="2" t="n">
        <v>500000</v>
      </c>
      <c r="C6" s="2" t="n">
        <v>500000</v>
      </c>
      <c r="D6" s="2" t="n">
        <v>500000</v>
      </c>
      <c r="E6" s="2" t="n">
        <v>1200000</v>
      </c>
      <c r="F6" s="2" t="n">
        <v>1200000</v>
      </c>
      <c r="G6" s="2" t="n">
        <v>1500000</v>
      </c>
    </row>
    <row r="7">
      <c r="A7" t="inlineStr">
        <is>
          <t>Contador/a</t>
        </is>
      </c>
      <c r="B7" s="2" t="n">
        <v>400000</v>
      </c>
      <c r="C7" s="2" t="n">
        <v>400000</v>
      </c>
      <c r="D7" s="2" t="n">
        <v>400000</v>
      </c>
      <c r="E7" s="2" t="n">
        <v>500000</v>
      </c>
      <c r="F7" s="2" t="n">
        <v>500000</v>
      </c>
      <c r="G7" s="2" t="n">
        <v>600000</v>
      </c>
    </row>
    <row r="8">
      <c r="A8" t="inlineStr">
        <is>
          <t>Coworking / estudio</t>
        </is>
      </c>
      <c r="B8" s="2" t="n">
        <v>0</v>
      </c>
      <c r="C8" s="2" t="n">
        <v>0</v>
      </c>
      <c r="D8" s="2" t="n">
        <v>0</v>
      </c>
      <c r="E8" s="2" t="n">
        <v>900000</v>
      </c>
      <c r="F8" s="2" t="n">
        <v>900000</v>
      </c>
      <c r="G8" s="2" t="n">
        <v>1800000</v>
      </c>
    </row>
    <row r="9">
      <c r="A9" t="inlineStr">
        <is>
          <t>Varios</t>
        </is>
      </c>
      <c r="B9" s="2" t="n">
        <v>300000</v>
      </c>
      <c r="C9" s="2" t="n">
        <v>300000</v>
      </c>
      <c r="D9" s="2" t="n">
        <v>300000</v>
      </c>
      <c r="E9" s="2" t="n">
        <v>500000</v>
      </c>
      <c r="F9" s="2" t="n">
        <v>500000</v>
      </c>
      <c r="G9" s="2" t="n">
        <v>800000</v>
      </c>
    </row>
    <row r="10">
      <c r="A10" s="3" t="inlineStr">
        <is>
          <t>Total gastos fijos</t>
        </is>
      </c>
      <c r="B10" s="2">
        <f>SUM(B5:B9)</f>
        <v/>
      </c>
      <c r="C10" s="2">
        <f>SUM(C5:C9)</f>
        <v/>
      </c>
      <c r="D10" s="2">
        <f>SUM(D5:D9)</f>
        <v/>
      </c>
      <c r="E10" s="2">
        <f>SUM(E5:E9)</f>
        <v/>
      </c>
      <c r="F10" s="2">
        <f>SUM(F5:F9)</f>
        <v/>
      </c>
      <c r="G10" s="2">
        <f>SUM(G5:G9)</f>
        <v/>
      </c>
    </row>
    <row r="11">
      <c r="A11" t="inlineStr">
        <is>
          <t>Sueldos fundadores (con seg. social)</t>
        </is>
      </c>
      <c r="B11" s="2" t="n">
        <v>0</v>
      </c>
      <c r="C11" s="2" t="n">
        <v>0</v>
      </c>
      <c r="D11" s="2" t="n">
        <v>0</v>
      </c>
      <c r="E11" s="2" t="n">
        <v>5200000</v>
      </c>
      <c r="F11" s="2" t="n">
        <v>5200000</v>
      </c>
      <c r="G11" s="2" t="n">
        <v>11700000</v>
      </c>
    </row>
    <row r="12">
      <c r="A12" t="inlineStr">
        <is>
          <t>% honorarios de dirección sobre ingresos</t>
        </is>
      </c>
      <c r="B12" s="4" t="n">
        <v>0.15</v>
      </c>
      <c r="C12" s="4" t="n">
        <v>0.15</v>
      </c>
      <c r="D12" s="4" t="n">
        <v>0.15</v>
      </c>
      <c r="E12" s="4" t="n">
        <v>0.05</v>
      </c>
      <c r="F12" s="4" t="n">
        <v>0.05</v>
      </c>
      <c r="G12" s="4" t="n">
        <v>0</v>
      </c>
    </row>
    <row r="13">
      <c r="A13" t="inlineStr">
        <is>
          <t>Honorarios de dirección</t>
        </is>
      </c>
      <c r="B13" s="2">
        <f>B2*B12</f>
        <v/>
      </c>
      <c r="C13" s="2">
        <f>C2*C12</f>
        <v/>
      </c>
      <c r="D13" s="2">
        <f>D2*D12</f>
        <v/>
      </c>
      <c r="E13" s="2">
        <f>E2*E12</f>
        <v/>
      </c>
      <c r="F13" s="2">
        <f>F2*F12</f>
        <v/>
      </c>
      <c r="G13" s="2">
        <f>G2*G12</f>
        <v/>
      </c>
    </row>
    <row r="14">
      <c r="A14" s="3" t="inlineStr">
        <is>
          <t>Utilidad antes de impuestos</t>
        </is>
      </c>
      <c r="B14" s="2">
        <f>B4-B10-B11-B13</f>
        <v/>
      </c>
      <c r="C14" s="2">
        <f>C4-C10-C11-C13</f>
        <v/>
      </c>
      <c r="D14" s="2">
        <f>D4-D10-D11-D13</f>
        <v/>
      </c>
      <c r="E14" s="2">
        <f>E4-E10-E11-E13</f>
        <v/>
      </c>
      <c r="F14" s="2">
        <f>F4-F10-F11-F13</f>
        <v/>
      </c>
      <c r="G14" s="2">
        <f>G4-G10-G11-G13</f>
        <v/>
      </c>
    </row>
    <row r="15">
      <c r="A15" t="inlineStr">
        <is>
          <t>Horas de socios requeridas</t>
        </is>
      </c>
      <c r="B15" s="5" t="n">
        <v>46</v>
      </c>
      <c r="C15" s="5" t="n">
        <v>56</v>
      </c>
      <c r="D15" s="5" t="n">
        <v>74</v>
      </c>
      <c r="E15" s="5" t="n">
        <v>122</v>
      </c>
      <c r="F15" s="5" t="n">
        <v>162</v>
      </c>
      <c r="G15" s="5" t="n">
        <v>238</v>
      </c>
    </row>
    <row r="16">
      <c r="A16" t="inlineStr">
        <is>
          <t>Horas de socios disponibles</t>
        </is>
      </c>
      <c r="B16" s="5" t="n">
        <v>80</v>
      </c>
      <c r="C16" s="5" t="n">
        <v>80</v>
      </c>
      <c r="D16" s="5" t="n">
        <v>80</v>
      </c>
      <c r="E16" s="5" t="n">
        <v>200</v>
      </c>
      <c r="F16" s="5" t="n">
        <v>200</v>
      </c>
      <c r="G16" s="5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2026-09-17T23:51:58Z</dcterms:created>
  <dcterms:modified xsi:type="dcterms:W3CDTF">2026-09-17T23:51:58Z</dcterms:modified>
</cp:coreProperties>
</file>